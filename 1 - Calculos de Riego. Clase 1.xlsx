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4148C7C8-688F-481C-A2AE-2457F25379B0}" xr6:coauthVersionLast="47" xr6:coauthVersionMax="47" xr10:uidLastSave="{00000000-0000-0000-0000-000000000000}"/>
  <bookViews>
    <workbookView xWindow="-120" yWindow="-120" windowWidth="20730" windowHeight="11160" xr2:uid="{E3BA8057-8047-4883-B795-D1F81C51526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4" i="1" l="1"/>
  <c r="I23" i="1"/>
  <c r="I21" i="1"/>
  <c r="C24" i="1"/>
  <c r="C23" i="1"/>
  <c r="C22" i="1"/>
  <c r="C21" i="1"/>
  <c r="L16" i="1"/>
  <c r="I8" i="1"/>
  <c r="E13" i="1" s="1"/>
</calcChain>
</file>

<file path=xl/sharedStrings.xml><?xml version="1.0" encoding="utf-8"?>
<sst xmlns="http://schemas.openxmlformats.org/spreadsheetml/2006/main" count="59" uniqueCount="51">
  <si>
    <t>8 mil</t>
  </si>
  <si>
    <t>10 mil</t>
  </si>
  <si>
    <t>presiones</t>
  </si>
  <si>
    <t>1 bar</t>
  </si>
  <si>
    <t>1.1 bar</t>
  </si>
  <si>
    <t>marco de plantacion</t>
  </si>
  <si>
    <t>N° cintas por hilera</t>
  </si>
  <si>
    <t>x</t>
  </si>
  <si>
    <t>plantas</t>
  </si>
  <si>
    <t>hileras</t>
  </si>
  <si>
    <t>capacidad de riego</t>
  </si>
  <si>
    <t>caudal gotero</t>
  </si>
  <si>
    <t>n° Hileras</t>
  </si>
  <si>
    <t>distanciamiento gotero</t>
  </si>
  <si>
    <t>distanciamiento entre calle</t>
  </si>
  <si>
    <t>kc</t>
  </si>
  <si>
    <t>mm/dia</t>
  </si>
  <si>
    <t>ETC</t>
  </si>
  <si>
    <t>CR x DC x Dg</t>
  </si>
  <si>
    <t>N° hileras</t>
  </si>
  <si>
    <t>litros</t>
  </si>
  <si>
    <t>enero</t>
  </si>
  <si>
    <t>febrero</t>
  </si>
  <si>
    <t>suelos arcillos</t>
  </si>
  <si>
    <t>clase 16 mil - 20 cm -1.2 L/H - 800M - autocompensada</t>
  </si>
  <si>
    <t>esparrago</t>
  </si>
  <si>
    <t>metros lineales</t>
  </si>
  <si>
    <t>goteros/Ha</t>
  </si>
  <si>
    <t>litros /Ha</t>
  </si>
  <si>
    <t>m3</t>
  </si>
  <si>
    <t>12 mil</t>
  </si>
  <si>
    <t>14 mil</t>
  </si>
  <si>
    <t>15 mil</t>
  </si>
  <si>
    <t>16 mil</t>
  </si>
  <si>
    <t>24 mil</t>
  </si>
  <si>
    <t>1.2 bar</t>
  </si>
  <si>
    <t>1.4 bar</t>
  </si>
  <si>
    <t>...........</t>
  </si>
  <si>
    <t>clase de cinta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</si>
  <si>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</si>
  <si>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</si>
  <si>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</si>
  <si>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</si>
  <si>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</si>
  <si>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</si>
  <si>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</si>
  <si>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</si>
  <si>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</si>
  <si>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</si>
  <si>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Eto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</si>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</sst>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D20E4-34F4-4DE4-B27E-9FCF7F4712E5}">
  <dimension ref="B1:L24"/>
  <sheetViews>
    <sheetView showGridLines="0" tabSelected="1" zoomScale="130" zoomScaleNormal="130" workbookViewId="0">
      <selection activeCell="C24" sqref="C24"/>
    </sheetView>
  </sheetViews>
  <sheetFormatPr baseColWidth="10" defaultRowHeight="15" x14ac:dyDescent="0.25"/>
  <cols>
    <col min="1" max="1" width="4.85546875" style="1" customWidth="1"/>
    <col min="2" max="2" width="22.28515625" style="1" customWidth="1"/>
    <col min="3" max="9" width="9.42578125" style="1" customWidth="1"/>
    <col min="10" max="11" width="11.42578125" style="1"/>
    <col min="12" max="12" width="6.85546875" style="1" customWidth="1"/>
    <col min="13" max="16384" width="11.42578125" style="1"/>
  </cols>
  <sheetData>
    <row r="1" spans="2:12" ht="8.25" customHeight="1" x14ac:dyDescent="0.25"/>
    <row r="2" spans="2:12" x14ac:dyDescent="0.25">
      <c r="B2" s="3" t="s">
        <v>38</v>
      </c>
      <c r="C2" s="3" t="s">
        <v>0</v>
      </c>
      <c r="D2" s="3" t="s">
        <v>1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</row>
    <row r="3" spans="2:12" x14ac:dyDescent="0.25">
      <c r="B3" s="3" t="s">
        <v>2</v>
      </c>
      <c r="C3" s="3" t="s">
        <v>3</v>
      </c>
      <c r="D3" s="3" t="s">
        <v>4</v>
      </c>
      <c r="E3" s="3" t="s">
        <v>35</v>
      </c>
      <c r="F3" s="3" t="s">
        <v>36</v>
      </c>
      <c r="G3" s="14" t="s">
        <v>37</v>
      </c>
      <c r="H3" s="3"/>
      <c r="I3" s="3"/>
    </row>
    <row r="4" spans="2:12" x14ac:dyDescent="0.25">
      <c r="K4" s="2" t="s">
        <v>21</v>
      </c>
      <c r="L4" s="15">
        <v>0.1</v>
      </c>
    </row>
    <row r="5" spans="2:12" x14ac:dyDescent="0.25">
      <c r="B5" s="2" t="s">
        <v>5</v>
      </c>
      <c r="C5" s="2">
        <v>0.5</v>
      </c>
      <c r="D5" s="2" t="s">
        <v>7</v>
      </c>
      <c r="E5" s="2">
        <v>1.6</v>
      </c>
      <c r="H5" s="19" t="s">
        <v>17</v>
      </c>
      <c r="I5" s="19" t="s">
        <v>49</v>
      </c>
      <c r="J5" s="19" t="s">
        <v>15</v>
      </c>
      <c r="K5" s="2" t="s">
        <v>22</v>
      </c>
      <c r="L5" s="15">
        <v>0.1</v>
      </c>
    </row>
    <row r="6" spans="2:12" x14ac:dyDescent="0.25">
      <c r="B6" s="2" t="s">
        <v>6</v>
      </c>
      <c r="C6" s="2" t="s">
        <v>8</v>
      </c>
      <c r="D6" s="2"/>
      <c r="E6" s="2" t="s">
        <v>9</v>
      </c>
      <c r="H6" s="2"/>
      <c r="I6" s="2">
        <v>3</v>
      </c>
      <c r="J6" s="2">
        <v>0.7</v>
      </c>
      <c r="K6" s="2" t="s">
        <v>39</v>
      </c>
      <c r="L6" s="15">
        <v>0.2</v>
      </c>
    </row>
    <row r="7" spans="2:12" x14ac:dyDescent="0.25">
      <c r="H7" s="2"/>
      <c r="I7" s="2" t="s">
        <v>16</v>
      </c>
      <c r="J7" s="2"/>
      <c r="K7" s="2" t="s">
        <v>40</v>
      </c>
      <c r="L7" s="15">
        <v>0.25</v>
      </c>
    </row>
    <row r="8" spans="2:12" x14ac:dyDescent="0.25">
      <c r="H8" s="2" t="s">
        <v>17</v>
      </c>
      <c r="I8" s="18">
        <f>+I6*J6</f>
        <v>2.0999999999999996</v>
      </c>
      <c r="J8" s="2" t="s">
        <v>16</v>
      </c>
      <c r="K8" s="2" t="s">
        <v>41</v>
      </c>
      <c r="L8" s="15">
        <v>0.4</v>
      </c>
    </row>
    <row r="9" spans="2:12" x14ac:dyDescent="0.25">
      <c r="B9" s="4"/>
      <c r="C9" s="11" t="s">
        <v>11</v>
      </c>
      <c r="D9" s="6" t="s">
        <v>7</v>
      </c>
      <c r="E9" s="5" t="s">
        <v>12</v>
      </c>
      <c r="K9" s="2" t="s">
        <v>42</v>
      </c>
      <c r="L9" s="15">
        <v>0.45</v>
      </c>
    </row>
    <row r="10" spans="2:12" x14ac:dyDescent="0.25">
      <c r="B10" s="10" t="s">
        <v>10</v>
      </c>
      <c r="C10" s="7"/>
      <c r="D10" s="8" t="s">
        <v>13</v>
      </c>
      <c r="E10" s="7"/>
      <c r="K10" s="2" t="s">
        <v>43</v>
      </c>
      <c r="L10" s="15">
        <v>0.45</v>
      </c>
    </row>
    <row r="11" spans="2:12" x14ac:dyDescent="0.25">
      <c r="B11" s="4"/>
      <c r="C11" s="4"/>
      <c r="D11" s="9" t="s">
        <v>14</v>
      </c>
      <c r="E11" s="4"/>
      <c r="K11" s="2" t="s">
        <v>44</v>
      </c>
      <c r="L11" s="15">
        <v>0.6</v>
      </c>
    </row>
    <row r="12" spans="2:12" x14ac:dyDescent="0.25">
      <c r="K12" s="2" t="s">
        <v>45</v>
      </c>
      <c r="L12" s="15">
        <v>0.8</v>
      </c>
    </row>
    <row r="13" spans="2:12" x14ac:dyDescent="0.25">
      <c r="B13" s="12" t="s">
        <v>11</v>
      </c>
      <c r="C13" s="13" t="s">
        <v>18</v>
      </c>
      <c r="D13" s="1" t="s">
        <v>50</v>
      </c>
      <c r="E13" s="1">
        <f>+(I8*E5*C5)/2</f>
        <v>0.83999999999999986</v>
      </c>
      <c r="F13" s="1" t="s">
        <v>20</v>
      </c>
      <c r="K13" s="2" t="s">
        <v>46</v>
      </c>
      <c r="L13" s="15">
        <v>0.5</v>
      </c>
    </row>
    <row r="14" spans="2:12" x14ac:dyDescent="0.25">
      <c r="B14" s="12"/>
      <c r="C14" s="12" t="s">
        <v>19</v>
      </c>
      <c r="K14" s="2" t="s">
        <v>47</v>
      </c>
      <c r="L14" s="15">
        <v>0.45</v>
      </c>
    </row>
    <row r="15" spans="2:12" x14ac:dyDescent="0.25">
      <c r="K15" s="2" t="s">
        <v>48</v>
      </c>
      <c r="L15" s="17">
        <v>0.3</v>
      </c>
    </row>
    <row r="16" spans="2:12" x14ac:dyDescent="0.25">
      <c r="C16" s="2" t="s">
        <v>23</v>
      </c>
      <c r="D16" s="2" t="s">
        <v>25</v>
      </c>
      <c r="E16" s="20" t="s">
        <v>24</v>
      </c>
      <c r="F16" s="21"/>
      <c r="G16" s="21"/>
      <c r="H16" s="21"/>
      <c r="I16" s="21"/>
      <c r="L16" s="16">
        <f>+AVERAGE(L4:L15)</f>
        <v>0.3833333333333333</v>
      </c>
    </row>
    <row r="19" spans="3:12" x14ac:dyDescent="0.25">
      <c r="C19" s="2">
        <v>100</v>
      </c>
      <c r="D19" s="2">
        <v>100</v>
      </c>
      <c r="E19" s="2"/>
      <c r="F19" s="2"/>
      <c r="G19" s="2"/>
      <c r="H19" s="2"/>
      <c r="I19" s="2"/>
      <c r="J19" s="2"/>
      <c r="K19" s="2"/>
      <c r="L19" s="2"/>
    </row>
    <row r="20" spans="3:12" x14ac:dyDescent="0.25"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3:12" x14ac:dyDescent="0.25">
      <c r="C21" s="2">
        <f>+C19/1.6</f>
        <v>62.5</v>
      </c>
      <c r="D21" s="2"/>
      <c r="F21" s="2"/>
      <c r="G21" s="2"/>
      <c r="H21" s="2"/>
      <c r="I21" s="2">
        <f>+C24</f>
        <v>10499.999999999998</v>
      </c>
      <c r="J21" s="2" t="s">
        <v>20</v>
      </c>
      <c r="K21" s="22">
        <v>1</v>
      </c>
      <c r="L21" s="2" t="s">
        <v>29</v>
      </c>
    </row>
    <row r="22" spans="3:12" x14ac:dyDescent="0.25">
      <c r="C22" s="2">
        <f>+C21*D19</f>
        <v>6250</v>
      </c>
      <c r="D22" s="23" t="s">
        <v>26</v>
      </c>
      <c r="E22" s="23"/>
      <c r="F22" s="2"/>
      <c r="G22" s="2"/>
      <c r="H22" s="2"/>
      <c r="I22" s="2"/>
      <c r="J22" s="2"/>
      <c r="K22" s="2">
        <v>1000</v>
      </c>
      <c r="L22" s="2" t="s">
        <v>20</v>
      </c>
    </row>
    <row r="23" spans="3:12" x14ac:dyDescent="0.25">
      <c r="C23" s="2">
        <f>+C22/C5</f>
        <v>12500</v>
      </c>
      <c r="D23" s="2" t="s">
        <v>27</v>
      </c>
      <c r="E23" s="2"/>
      <c r="F23" s="2"/>
      <c r="G23" s="2"/>
      <c r="H23" s="2"/>
      <c r="I23" s="21">
        <f>+I21/K22</f>
        <v>10.499999999999998</v>
      </c>
      <c r="J23" s="21" t="s">
        <v>29</v>
      </c>
      <c r="K23" s="2"/>
      <c r="L23" s="2"/>
    </row>
    <row r="24" spans="3:12" x14ac:dyDescent="0.25">
      <c r="C24" s="2">
        <f>+C23*E13</f>
        <v>10499.999999999998</v>
      </c>
      <c r="D24" s="2" t="s">
        <v>28</v>
      </c>
      <c r="E24" s="2"/>
      <c r="F24" s="2"/>
      <c r="G24" s="2"/>
      <c r="H24" s="2"/>
      <c r="I24" s="2">
        <f>+I23*250</f>
        <v>2624.9999999999995</v>
      </c>
      <c r="J24" s="2" t="s">
        <v>29</v>
      </c>
      <c r="K24" s="2"/>
      <c r="L24" s="2"/>
    </row>
  </sheetData>
  <mergeCells count="1">
    <mergeCell ref="D22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Misaico</dc:creator>
  <cp:lastModifiedBy>Ruben Misaico</cp:lastModifiedBy>
  <dcterms:created xsi:type="dcterms:W3CDTF">2026-05-17T01:01:30Z</dcterms:created>
  <dcterms:modified xsi:type="dcterms:W3CDTF">2026-05-17T04:05:06Z</dcterms:modified>
</cp:coreProperties>
</file>